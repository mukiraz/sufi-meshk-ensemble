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05baf0d4702b938c/Desktop/"/>
    </mc:Choice>
  </mc:AlternateContent>
  <xr:revisionPtr revIDLastSave="83" documentId="13_ncr:1_{609010E7-370A-4A58-AD01-EF7B77AD68D8}" xr6:coauthVersionLast="47" xr6:coauthVersionMax="47" xr10:uidLastSave="{6531DC6F-FD38-4095-9076-2C2C91ED5EA9}"/>
  <bookViews>
    <workbookView xWindow="28680" yWindow="-120" windowWidth="29040" windowHeight="15720" activeTab="1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9" i="2" l="1"/>
  <c r="H9" i="2" s="1"/>
  <c r="G10" i="2"/>
  <c r="H10" i="2" s="1"/>
  <c r="H8" i="2"/>
  <c r="E9" i="2"/>
  <c r="I9" i="2" s="1"/>
  <c r="E10" i="2"/>
  <c r="I10" i="2" s="1"/>
  <c r="E8" i="2"/>
  <c r="I8" i="2" s="1"/>
  <c r="F1" i="2"/>
  <c r="J8" i="2" l="1"/>
  <c r="J10" i="2"/>
  <c r="J9" i="2"/>
</calcChain>
</file>

<file path=xl/sharedStrings.xml><?xml version="1.0" encoding="utf-8"?>
<sst xmlns="http://schemas.openxmlformats.org/spreadsheetml/2006/main" count="68" uniqueCount="48">
  <si>
    <t>S.No</t>
  </si>
  <si>
    <t>Konser Salonu</t>
  </si>
  <si>
    <t>Adres</t>
  </si>
  <si>
    <t>Lokasyon</t>
  </si>
  <si>
    <t>Web Sitesi</t>
  </si>
  <si>
    <t>Fiyat</t>
  </si>
  <si>
    <t>https://www.mahogany.ch/</t>
  </si>
  <si>
    <t>Bern</t>
  </si>
  <si>
    <t>Açıklama</t>
  </si>
  <si>
    <t>Form üzerinden iletişim kuruldu</t>
  </si>
  <si>
    <t>https://menuhinforum.ch/footer-menu/kontakt/</t>
  </si>
  <si>
    <t>Mail Gönderildi</t>
  </si>
  <si>
    <t>ESBB, Eventlokal Sternensaal Bern-Buempliz</t>
  </si>
  <si>
    <t>https://www.nationalbern.ch/kontakt/</t>
  </si>
  <si>
    <t>https://bierhuebeli.ch/ueber-uns/</t>
  </si>
  <si>
    <t>https://www.sierre.ch/fr/sacoche-1947.html</t>
  </si>
  <si>
    <t>Sierre</t>
  </si>
  <si>
    <t>https://www.kellertheater.ch/</t>
  </si>
  <si>
    <t>https://www.spiritus.ch/de/allgemein/kontakt</t>
  </si>
  <si>
    <t>Brig</t>
  </si>
  <si>
    <t>https://www.lapostevisp.ch/en/</t>
  </si>
  <si>
    <t>https://alize-theatre.ch/contact/</t>
  </si>
  <si>
    <t>https://www.teatrocomi.co/</t>
  </si>
  <si>
    <t>Sion</t>
  </si>
  <si>
    <t>Visp</t>
  </si>
  <si>
    <t>christa.barmettler@menuhinforum.ch</t>
  </si>
  <si>
    <t>info@esbb.ch</t>
  </si>
  <si>
    <t>info@nationalbern.ch</t>
  </si>
  <si>
    <t>info@kellertheater.ch</t>
  </si>
  <si>
    <t>laposte@visp.ch</t>
  </si>
  <si>
    <t>info@teatrocomi.co</t>
  </si>
  <si>
    <t>marcel@theatreindocile.ch</t>
  </si>
  <si>
    <t>sekretariat.kssb@edu.vs.ch</t>
  </si>
  <si>
    <t>Email</t>
  </si>
  <si>
    <t>Noemie Moulin' &lt;noemie@aslec.ch&gt;</t>
  </si>
  <si>
    <t>600-800</t>
  </si>
  <si>
    <t>info@bierhuebeli.ch</t>
  </si>
  <si>
    <t>600-700</t>
  </si>
  <si>
    <t>Maaliyet</t>
  </si>
  <si>
    <t>Serkan Kamacı Uçak Masrafı</t>
  </si>
  <si>
    <t>Serkan Kamacı Vize Masrafı</t>
  </si>
  <si>
    <t>Serkan Kamacı Interrail 5 Gün</t>
  </si>
  <si>
    <t>Salon Masrafı</t>
  </si>
  <si>
    <t>Salon Kapasitesi</t>
  </si>
  <si>
    <t>Doluluk İhtimali</t>
  </si>
  <si>
    <t>Yeme-İçme</t>
  </si>
  <si>
    <t>Sosyal Medya Reklam</t>
  </si>
  <si>
    <t>Broşür Maliyeti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</si>
</sst>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0" xfId="1" quotePrefix="1"/>
    <xf numFmtId="0" fontId="3" fillId="3" borderId="0" xfId="3"/>
    <xf numFmtId="0" fontId="2" fillId="2" borderId="0" xfId="2"/>
  </cellXfs>
  <cellStyles count="4">
    <cellStyle name="İyi" xfId="2" builtinId="26"/>
    <cellStyle name="Köprü" xfId="1" builtinId="8"/>
    <cellStyle name="Normal" xfId="0" builtinId="0"/>
    <cellStyle name="Nötr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iritus.ch/de/allgemein/kontakt" TargetMode="External"/><Relationship Id="rId13" Type="http://schemas.openxmlformats.org/officeDocument/2006/relationships/hyperlink" Target="mailto:info@nationalbern.ch" TargetMode="External"/><Relationship Id="rId18" Type="http://schemas.openxmlformats.org/officeDocument/2006/relationships/hyperlink" Target="mailto:sekretariat.kssb@edu.vs.ch" TargetMode="External"/><Relationship Id="rId3" Type="http://schemas.openxmlformats.org/officeDocument/2006/relationships/hyperlink" Target="https://www.esbb.ch/contact-us/" TargetMode="External"/><Relationship Id="rId7" Type="http://schemas.openxmlformats.org/officeDocument/2006/relationships/hyperlink" Target="https://www.kellertheater.ch/" TargetMode="External"/><Relationship Id="rId12" Type="http://schemas.openxmlformats.org/officeDocument/2006/relationships/hyperlink" Target="mailto:info@esbb.ch" TargetMode="External"/><Relationship Id="rId17" Type="http://schemas.openxmlformats.org/officeDocument/2006/relationships/hyperlink" Target="mailto:marcel@theatreindocile.ch" TargetMode="External"/><Relationship Id="rId2" Type="http://schemas.openxmlformats.org/officeDocument/2006/relationships/hyperlink" Target="https://menuhinforum.ch/footer-menu/kontakt/" TargetMode="External"/><Relationship Id="rId16" Type="http://schemas.openxmlformats.org/officeDocument/2006/relationships/hyperlink" Target="mailto:info@teatrocomi.co" TargetMode="External"/><Relationship Id="rId20" Type="http://schemas.openxmlformats.org/officeDocument/2006/relationships/hyperlink" Target="mailto:info@bierhuebeli.ch" TargetMode="External"/><Relationship Id="rId1" Type="http://schemas.openxmlformats.org/officeDocument/2006/relationships/hyperlink" Target="https://www.mahogany.ch/" TargetMode="External"/><Relationship Id="rId6" Type="http://schemas.openxmlformats.org/officeDocument/2006/relationships/hyperlink" Target="https://www.sierre.ch/fr/sacoche-1947.html" TargetMode="External"/><Relationship Id="rId11" Type="http://schemas.openxmlformats.org/officeDocument/2006/relationships/hyperlink" Target="https://www.teatrocomi.co/" TargetMode="External"/><Relationship Id="rId5" Type="http://schemas.openxmlformats.org/officeDocument/2006/relationships/hyperlink" Target="https://bierhuebeli.ch/ueber-uns/" TargetMode="External"/><Relationship Id="rId15" Type="http://schemas.openxmlformats.org/officeDocument/2006/relationships/hyperlink" Target="mailto:laposte@visp.ch" TargetMode="External"/><Relationship Id="rId10" Type="http://schemas.openxmlformats.org/officeDocument/2006/relationships/hyperlink" Target="https://alize-theatre.ch/contact/" TargetMode="External"/><Relationship Id="rId19" Type="http://schemas.openxmlformats.org/officeDocument/2006/relationships/hyperlink" Target="mailto:christa.barmettler@menuhinforum.ch" TargetMode="External"/><Relationship Id="rId4" Type="http://schemas.openxmlformats.org/officeDocument/2006/relationships/hyperlink" Target="https://www.nationalbern.ch/kontakt/" TargetMode="External"/><Relationship Id="rId9" Type="http://schemas.openxmlformats.org/officeDocument/2006/relationships/hyperlink" Target="https://www.lapostevisp.ch/en/" TargetMode="External"/><Relationship Id="rId14" Type="http://schemas.openxmlformats.org/officeDocument/2006/relationships/hyperlink" Target="mailto:info@kellertheater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H5" sqref="H5"/>
    </sheetView>
  </sheetViews>
  <sheetFormatPr defaultRowHeight="15" x14ac:dyDescent="0.25"/>
  <cols>
    <col min="1" max="1" width="11.7109375" customWidth="1"/>
    <col min="2" max="2" width="16.85546875" customWidth="1"/>
    <col min="3" max="3" width="14.5703125" customWidth="1"/>
    <col min="4" max="4" width="20.140625" customWidth="1"/>
    <col min="5" max="5" width="45.7109375" bestFit="1" customWidth="1"/>
    <col min="6" max="6" width="45.7109375" customWidth="1"/>
    <col min="7" max="8" width="3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  <c r="G1" t="s">
        <v>8</v>
      </c>
      <c r="H1" t="s">
        <v>5</v>
      </c>
    </row>
    <row r="2" spans="1:8" x14ac:dyDescent="0.25">
      <c r="D2" t="s">
        <v>7</v>
      </c>
      <c r="E2" s="1" t="s">
        <v>6</v>
      </c>
      <c r="F2" s="1"/>
      <c r="G2" t="s">
        <v>9</v>
      </c>
    </row>
    <row r="3" spans="1:8" x14ac:dyDescent="0.25">
      <c r="D3" t="s">
        <v>7</v>
      </c>
      <c r="E3" s="1" t="s">
        <v>10</v>
      </c>
      <c r="F3" s="1" t="s">
        <v>25</v>
      </c>
      <c r="G3" s="3" t="s">
        <v>11</v>
      </c>
    </row>
    <row r="4" spans="1:8" x14ac:dyDescent="0.25">
      <c r="D4" t="s">
        <v>7</v>
      </c>
      <c r="E4" s="1" t="s">
        <v>12</v>
      </c>
      <c r="F4" s="1" t="s">
        <v>26</v>
      </c>
      <c r="G4" s="3" t="s">
        <v>11</v>
      </c>
      <c r="H4" t="s">
        <v>37</v>
      </c>
    </row>
    <row r="5" spans="1:8" x14ac:dyDescent="0.25">
      <c r="D5" t="s">
        <v>7</v>
      </c>
      <c r="E5" s="1" t="s">
        <v>13</v>
      </c>
      <c r="F5" s="1" t="s">
        <v>27</v>
      </c>
      <c r="G5" s="3" t="s">
        <v>11</v>
      </c>
    </row>
    <row r="6" spans="1:8" x14ac:dyDescent="0.25">
      <c r="D6" t="s">
        <v>7</v>
      </c>
      <c r="E6" s="1" t="s">
        <v>14</v>
      </c>
      <c r="F6" s="1" t="s">
        <v>36</v>
      </c>
      <c r="G6" s="3" t="s">
        <v>11</v>
      </c>
    </row>
    <row r="7" spans="1:8" x14ac:dyDescent="0.25">
      <c r="D7" t="s">
        <v>16</v>
      </c>
      <c r="E7" s="1" t="s">
        <v>15</v>
      </c>
      <c r="F7" s="2" t="s">
        <v>34</v>
      </c>
      <c r="G7" s="4" t="s">
        <v>11</v>
      </c>
      <c r="H7">
        <v>350</v>
      </c>
    </row>
    <row r="8" spans="1:8" x14ac:dyDescent="0.25">
      <c r="D8" t="s">
        <v>19</v>
      </c>
      <c r="E8" s="1" t="s">
        <v>17</v>
      </c>
      <c r="F8" s="1" t="s">
        <v>28</v>
      </c>
      <c r="G8" s="3" t="s">
        <v>11</v>
      </c>
    </row>
    <row r="9" spans="1:8" x14ac:dyDescent="0.25">
      <c r="D9" t="s">
        <v>19</v>
      </c>
      <c r="E9" s="1" t="s">
        <v>18</v>
      </c>
      <c r="F9" s="1" t="s">
        <v>32</v>
      </c>
      <c r="G9" s="4" t="s">
        <v>11</v>
      </c>
      <c r="H9" t="s">
        <v>35</v>
      </c>
    </row>
    <row r="10" spans="1:8" x14ac:dyDescent="0.25">
      <c r="D10" t="s">
        <v>24</v>
      </c>
      <c r="E10" s="1" t="s">
        <v>20</v>
      </c>
      <c r="F10" s="1" t="s">
        <v>29</v>
      </c>
      <c r="G10" s="3" t="s">
        <v>11</v>
      </c>
    </row>
    <row r="11" spans="1:8" x14ac:dyDescent="0.25">
      <c r="D11" t="s">
        <v>23</v>
      </c>
      <c r="E11" s="1" t="s">
        <v>22</v>
      </c>
      <c r="F11" s="1" t="s">
        <v>30</v>
      </c>
      <c r="G11" s="3" t="s">
        <v>11</v>
      </c>
    </row>
    <row r="12" spans="1:8" x14ac:dyDescent="0.25">
      <c r="D12" t="s">
        <v>23</v>
      </c>
      <c r="E12" s="1" t="s">
        <v>21</v>
      </c>
      <c r="F12" s="1" t="s">
        <v>31</v>
      </c>
      <c r="G12" t="s">
        <v>11</v>
      </c>
    </row>
  </sheetData>
  <hyperlinks>
    <hyperlink ref="E2" r:id="rId1" xr:uid="{6A4D33EE-7F93-454A-AD31-3A0ED8FDC13A}"/>
    <hyperlink ref="E3" r:id="rId2" xr:uid="{62AAF46C-02EC-4CD5-A0E6-71181922C0CC}"/>
    <hyperlink ref="E4" r:id="rId3" display="https://www.esbb.ch/contact-us/" xr:uid="{835C5587-06E6-44ED-B93D-4E31DDB48EAD}"/>
    <hyperlink ref="E5" r:id="rId4" xr:uid="{254F2A9A-5B89-4C2C-B979-F355A7DE00E8}"/>
    <hyperlink ref="E6" r:id="rId5" xr:uid="{FDF2A759-3EA6-4EFD-860C-D909564CA92C}"/>
    <hyperlink ref="E7" r:id="rId6" xr:uid="{841F6B65-C351-4AE5-85C5-83BDE12B281B}"/>
    <hyperlink ref="E8" r:id="rId7" xr:uid="{47BC62F6-B8E5-4920-BCFA-039DE5A1D194}"/>
    <hyperlink ref="E9" r:id="rId8" xr:uid="{23D8078A-EABE-47F2-BD1A-05C912EFA40A}"/>
    <hyperlink ref="E10" r:id="rId9" xr:uid="{8D2A6C82-076C-4928-BA1D-56A473D2C879}"/>
    <hyperlink ref="E12" r:id="rId10" xr:uid="{6DE395A6-84EA-482A-AFF2-06C7832B592E}"/>
    <hyperlink ref="E11" r:id="rId11" xr:uid="{933A5524-0A86-4707-ABFA-2C7740474AB8}"/>
    <hyperlink ref="F4" r:id="rId12" xr:uid="{C1B030FD-BDC2-4D73-A3BF-34319384E719}"/>
    <hyperlink ref="F5" r:id="rId13" xr:uid="{CF5EA0E4-EE7A-4C6F-9B69-D1112FF0D959}"/>
    <hyperlink ref="F8" r:id="rId14" xr:uid="{4B6005A6-5A08-426D-B5E8-EC0CF4B8ED4E}"/>
    <hyperlink ref="F10" r:id="rId15" xr:uid="{FB61B178-2CC9-4C99-816B-849000EF6387}"/>
    <hyperlink ref="F11" r:id="rId16" xr:uid="{5033E275-A16B-4D62-AF8B-6BADCDE4F4B9}"/>
    <hyperlink ref="F12" r:id="rId17" xr:uid="{D9760FF5-7C6F-49B3-9D65-0C9C16318B8C}"/>
    <hyperlink ref="F9" r:id="rId18" xr:uid="{3E518791-FD9F-4206-9A08-842983536BB1}"/>
    <hyperlink ref="F3" r:id="rId19" xr:uid="{317B661F-482F-4E46-84CC-4EB7391B7527}"/>
    <hyperlink ref="F6" r:id="rId20" xr:uid="{405C62A2-29C5-470F-A472-A65B355525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47A5-02EE-41E8-B7B1-5E683DAE9113}">
  <dimension ref="B1:J10"/>
  <sheetViews>
    <sheetView tabSelected="1" workbookViewId="0">
      <selection activeCell="B12" sqref="B12"/>
    </sheetView>
  </sheetViews>
  <sheetFormatPr defaultRowHeight="15" x14ac:dyDescent="0.25"/>
  <cols>
    <col min="2" max="5" width="32.85546875" customWidth="1"/>
    <col min="6" max="6" width="16.140625" customWidth="1"/>
    <col min="7" max="7" width="18" customWidth="1"/>
  </cols>
  <sheetData>
    <row r="1" spans="2:10" x14ac:dyDescent="0.25">
      <c r="B1" t="s">
        <v>38</v>
      </c>
      <c r="D1" t="s">
        <v>43</v>
      </c>
      <c r="E1" t="s">
        <v>44</v>
      </c>
      <c r="F1">
        <f>SUM(F2:F102)</f>
        <v>4718</v>
      </c>
    </row>
    <row r="2" spans="2:10" x14ac:dyDescent="0.25">
      <c r="B2" t="s">
        <v>39</v>
      </c>
      <c r="F2">
        <v>125</v>
      </c>
    </row>
    <row r="3" spans="2:10" x14ac:dyDescent="0.25">
      <c r="B3" t="s">
        <v>40</v>
      </c>
      <c r="F3">
        <v>120</v>
      </c>
    </row>
    <row r="4" spans="2:10" x14ac:dyDescent="0.25">
      <c r="B4" t="s">
        <v>41</v>
      </c>
      <c r="F4">
        <v>223</v>
      </c>
    </row>
    <row r="5" spans="2:10" x14ac:dyDescent="0.25">
      <c r="B5" t="s">
        <v>46</v>
      </c>
      <c r="F5">
        <v>500</v>
      </c>
    </row>
    <row r="6" spans="2:10" x14ac:dyDescent="0.25">
      <c r="B6" t="s">
        <v>47</v>
      </c>
      <c r="F6">
        <v>50</v>
      </c>
    </row>
    <row r="7" spans="2:10" x14ac:dyDescent="0.25">
      <c r="B7" t="s">
        <v>45</v>
      </c>
      <c r="F7">
        <v>2000</v>
      </c>
    </row>
    <row r="8" spans="2:10" x14ac:dyDescent="0.25">
      <c r="B8" t="s">
        <v>42</v>
      </c>
      <c r="C8" t="s">
        <v>7</v>
      </c>
      <c r="D8">
        <v>300</v>
      </c>
      <c r="E8">
        <f>D8*0.8</f>
        <v>240</v>
      </c>
      <c r="F8">
        <v>650</v>
      </c>
      <c r="G8">
        <f>SUM($F$2:$F$7) / 3</f>
        <v>1006</v>
      </c>
      <c r="H8">
        <f>F8+G8</f>
        <v>1656</v>
      </c>
      <c r="I8">
        <f>35*E8</f>
        <v>8400</v>
      </c>
      <c r="J8">
        <f>I8-H8</f>
        <v>6744</v>
      </c>
    </row>
    <row r="9" spans="2:10" x14ac:dyDescent="0.25">
      <c r="B9" t="s">
        <v>42</v>
      </c>
      <c r="C9" t="s">
        <v>19</v>
      </c>
      <c r="D9">
        <v>300</v>
      </c>
      <c r="E9">
        <f t="shared" ref="E9:E10" si="0">D9*0.8</f>
        <v>240</v>
      </c>
      <c r="F9">
        <v>700</v>
      </c>
      <c r="G9">
        <f t="shared" ref="G9:G10" si="1">SUM($F$2:$F$7) / 3</f>
        <v>1006</v>
      </c>
      <c r="H9">
        <f t="shared" ref="H9:H10" si="2">F9+G9</f>
        <v>1706</v>
      </c>
      <c r="I9">
        <f t="shared" ref="I9:I10" si="3">35*E9</f>
        <v>8400</v>
      </c>
      <c r="J9">
        <f t="shared" ref="J9:J10" si="4">I9-H9</f>
        <v>6694</v>
      </c>
    </row>
    <row r="10" spans="2:10" x14ac:dyDescent="0.25">
      <c r="B10" t="s">
        <v>42</v>
      </c>
      <c r="C10" t="s">
        <v>16</v>
      </c>
      <c r="D10">
        <v>100</v>
      </c>
      <c r="E10">
        <f t="shared" si="0"/>
        <v>80</v>
      </c>
      <c r="F10">
        <v>350</v>
      </c>
      <c r="G10">
        <f t="shared" si="1"/>
        <v>1006</v>
      </c>
      <c r="H10">
        <f t="shared" si="2"/>
        <v>1356</v>
      </c>
      <c r="I10">
        <f t="shared" si="3"/>
        <v>2800</v>
      </c>
      <c r="J10">
        <f t="shared" si="4"/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Ugur KIRAZ</dc:creator>
  <cp:lastModifiedBy>Murat Ugur KIRAZ</cp:lastModifiedBy>
  <dcterms:created xsi:type="dcterms:W3CDTF">2015-06-05T18:19:34Z</dcterms:created>
  <dcterms:modified xsi:type="dcterms:W3CDTF">2024-06-24T14:39:59Z</dcterms:modified>
</cp:coreProperties>
</file>